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ennik" sheetId="1" state="visible" r:id="rId3"/>
    <sheet name="wymiary" sheetId="2" state="visible" r:id="rId4"/>
    <sheet name="strength_calc" sheetId="3" state="visible" r:id="rId5"/>
    <sheet name="wymiary_przedsionka" sheetId="4" state="visible" r:id="rId6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<sst xmlns="http://schemas.openxmlformats.org/spreadsheetml/2006/main" count="130" uniqueCount="114">
  <si>
    <t xml:space="preserve">Profil ocynkowany 100x100x2x5000 szew napylany [mb]</t>
  </si>
  <si>
    <t xml:space="preserve">https://marketstal.pl/Profil-ocynkowany-100x100x2x5000-szew-napylany</t>
  </si>
  <si>
    <t xml:space="preserve">Profil ocynkowany 100x20x1,2x5000 szew napylany [mb]</t>
  </si>
  <si>
    <t xml:space="preserve">https://marketstal.pl/Profil-ocynkowany-100x20x1-2x5000-szew-napylany</t>
  </si>
  <si>
    <t xml:space="preserve">Profil ocynkowany zamknięty 100x20x1,2X6000 szew napylony [mb]</t>
  </si>
  <si>
    <t xml:space="preserve">zapytać</t>
  </si>
  <si>
    <t xml:space="preserve">https://ulamex.com.pl/profil-ocynkowany-100x20x12x6000-szew-napylony</t>
  </si>
  <si>
    <t xml:space="preserve">stopa do kolumny</t>
  </si>
  <si>
    <t xml:space="preserve">https://allegro.pl/oferta/blacha-montazowa-marka-podstawa-do-slupka-100x100-10x10-cm-4-mm-14982901920</t>
  </si>
  <si>
    <t xml:space="preserve">cięcie laserowe [mb]</t>
  </si>
  <si>
    <t xml:space="preserve">https://www.klik2laser.pl/</t>
  </si>
  <si>
    <t xml:space="preserve">Profil aluminiowy zamykający do płyt 16 mm [mb]</t>
  </si>
  <si>
    <t xml:space="preserve">https://tuplex.pl/profil-aluminiowy-zamykajacy-do-plyt-16-mm.html</t>
  </si>
  <si>
    <t xml:space="preserve">Profil PC zamykający do płyl 16 mm [mb]</t>
  </si>
  <si>
    <t xml:space="preserve">https://tuplex.pl/profil-pc-zamykajacy-typu-u-do-plyt-16-mm.html</t>
  </si>
  <si>
    <t xml:space="preserve">Profil PC łączący, typu H, do płyt 16 mm</t>
  </si>
  <si>
    <t xml:space="preserve">https://tuplex.pl/profil-pc-laczacy-typu-h-do-plyt-16-mm.html</t>
  </si>
  <si>
    <t xml:space="preserve">POLIWĘGLAN KOMOROWY 16mm bezbarwny 2,10 x 3,50m (X-PREMIUM)</t>
  </si>
  <si>
    <t xml:space="preserve">https://tech-plast.eu/poliweglan/produkt/poliweglan-komorowy-16mm-bezbarwny-210x350m-x-premium/</t>
  </si>
  <si>
    <t xml:space="preserve">Wycieraczka do zabudowy 40x60</t>
  </si>
  <si>
    <t xml:space="preserve">https://allegro.pl/oferta/wycieraczka-do-zabudowy-gumowa-w-kostke-plyty-odwodnienie-przed-drzwi-14175905090</t>
  </si>
  <si>
    <t xml:space="preserve">PŁYTA OSB 22 /3/2500X1250</t>
  </si>
  <si>
    <t xml:space="preserve">https://eadamex.pl/plyty-osb/4136-plyta-osb-22-3-2500x1250-pal46szt-44szt-50szt-42szt-5901940223182.html?utm_content=Merchant&amp;utm_medium=Merchant&amp;utm_source=Merchant&amp;utm_source=google&amp;utm_medium=cpc&amp;utm_campaign=gp_pmax_bestsellery&amp;gad_source=1&amp;gclid=Cj0KCQjw6PGxBhCVARIsAIumnWbzkff93-pzOzOsYDaqxrhPKf-KqLX0DLCC42HVYOYsFeUJ6_xGqO8aAtyEEALw_wcB</t>
  </si>
  <si>
    <t xml:space="preserve">Ościeżnica stalowa Zakpol FD1/80 pełna 3 zawiasy</t>
  </si>
  <si>
    <t xml:space="preserve">https://www.castorama.pl/oscieznica-stalowa-zakpol-fd1-80-pelna-3-zawiasy/5902709100454_CAPL.prd?alt=true</t>
  </si>
  <si>
    <t xml:space="preserve">Drzwi wejściowe GEREDA 55mm GALA 27 BLACK Antracyt Prawe 80 na zewnątrz</t>
  </si>
  <si>
    <t xml:space="preserve">https://allegro.pl/oferta/drzwi-wejsciowe-gereda-55mm-gala-27-black-antracyt-prawe-80-na-zewnatrz-15412266689</t>
  </si>
  <si>
    <t xml:space="preserve">rynna 4m antracytowa, dowolny kolor tam dodatki do instalowania</t>
  </si>
  <si>
    <t xml:space="preserve">https://centrumblacharskie.pl/pl/p/Rynna-kwadratowa-z-okapnikiem-stal-powlekana-SP082/408</t>
  </si>
  <si>
    <t xml:space="preserve">OKNO PCV 120 X 90 / 1200 x 900 UCHYLNE BIAŁE, dwuszybowe</t>
  </si>
  <si>
    <t xml:space="preserve">https://allegro.pl/oferta/okno-pcv-120-x-90-1200-x-900-uchylne-biale-7834414724</t>
  </si>
  <si>
    <t xml:space="preserve">Okno PCV Fix ( nie otwierane, stałe ) w ramie, dwuszubowe, 1200x900</t>
  </si>
  <si>
    <t xml:space="preserve">https://dopasujrolety.pl/okna-pcv/97-fix-w-ramie.html</t>
  </si>
  <si>
    <t xml:space="preserve">Płyta izolacyjna z wełny skalnej Rockslab Sonic 036 50 mm Rockwool 0.61x1x0.05m2 [m2]</t>
  </si>
  <si>
    <t xml:space="preserve">https://www.leroymerlin.pl/produkty/budowa/izolacja-budynkow/welna-mineralna-styropian-izolacja-akustyczna/welna/welna-na-sufit-podwieszany-i-scianki-dzialowe/plyta-izolacyjna-z-welny-skalnej-rockslab-sonic-036-50-mm-rockwool-44797830.html?utm_source=google&amp;utm_medium=cpc&amp;utm_channel=performance&amp;channel_details=pmax&amp;utm_campaign=pmax_boost_cheaper&amp;gad_source=1&amp;gclid=CjwKCAjw9IayBhBJEiwAVuc3fh3YNHammyIF8KPLFrSjDmJXEaqYR5IWNDsABVTnAPnCTT0de3Eh3hoC0joQAvD_BwE&amp;gclsrc=aw.ds</t>
  </si>
  <si>
    <t xml:space="preserve">PROFIL ŚCIENNY NIDA U 100 SINIAT 3m</t>
  </si>
  <si>
    <t xml:space="preserve">https://icb.pl/profil-scienny-Nida-U-100-Siniat</t>
  </si>
  <si>
    <t xml:space="preserve">PROFIL ŚCIENNY NIDA C 100 SINIAT 3,00M</t>
  </si>
  <si>
    <t xml:space="preserve">https://icb.pl/Profil-scienny-NIDA-C-100-siniat-3-00m</t>
  </si>
  <si>
    <t xml:space="preserve">Płyta gipsowo kartonowa impregnowana SINIAT NIDA HYDRO 12,5/1200/2600 mm [m2]</t>
  </si>
  <si>
    <t xml:space="preserve">https://www.sig.pl/plyta-gipsowo-kartonowa-impregnowana-siniat-nida-hydro-12512002600-mm,p826910</t>
  </si>
  <si>
    <t xml:space="preserve">Płyta gipsowa GKB TYP A 2600 x 1200 x 12.5 mm Norgips</t>
  </si>
  <si>
    <t xml:space="preserve">https://www.leroymerlin.pl/produkty/budowa/sciany-i-sufity/plyty-karton-gips-i-akcesoria/plyty-karton-gips/plyty-karton-gips-gkb/plyta-gipsowa-gkb-typ-a-2600-x-1200-x-12-5-mm-norgips-41661683.html</t>
  </si>
  <si>
    <t xml:space="preserve">folia paroizolacyjna 100m2</t>
  </si>
  <si>
    <t xml:space="preserve">https://allegro.pl/oferta/folia-zolta-0-20-paroizolacyjna-budowlana-2x50-100m2-0-2-atest-ce-7530991377</t>
  </si>
  <si>
    <t xml:space="preserve">taśma akustyczna 100mm 20mb</t>
  </si>
  <si>
    <t xml:space="preserve">https://allegro.pl/oferta/tasma-gumowa-akustyczna-legary-kontrlaty-profil-podkladki-gumowe-guma-3mm-14450484449?context=b95d8f70e800faead59416ff25364546aabd14ce7baf5fbfe63fc120075247219b4acaf09f063e28a8c7dcbdc4b2e415590e337cf1dbf97ffbaa5103b7eeb6bd5d3ace4047fbbbd09763ce7f865c4dc929cd5b376e028a793d9926ac79e48f9c8a170a0846669ed0d53c131914160c8fb81779aabac3e0bba1eaa33e553ab57bcd29015fd6b4dc15894f5014537ef47d&amp;sellerHasChanged=false&amp;fromVariant=14449017041</t>
  </si>
  <si>
    <t xml:space="preserve">taśma akustyczna 80mm 20mb</t>
  </si>
  <si>
    <t xml:space="preserve">https://allegro.pl/oferta/tasma-gumowa-akustyczna-legary-kontrlaty-profil-podkladki-gumowe-guma-3mm-14450418538?context=b95d8f70e800faead59416ff25364546aabd14ce7baf5fbfe63fc120075247219b4acaf09f063e28a8c7dcbdc4b2e415590e337cf1dbf97ffbaa5103b7eeb6bd5d3ace4047fbbbd09763ce7f865c4dc929cd5b376e028a793d9926ac79e48f9c8a170a0846669ed0d53c131914160c8fb81779aabac3e0bba1eaa33e553ab57bcd29015fd6b4dc15894f5014537ef47d&amp;sellerHasChanged=false&amp;fromVariant=14450484449</t>
  </si>
  <si>
    <t xml:space="preserve">Szklana ściana 290cm przesuwna</t>
  </si>
  <si>
    <t xml:space="preserve">https://stimeo-domki.pl/architektura-ogrodowa/891-przesuwny-system-ogrodu-zimowego.html#/wysoko%C5%9B%C4%87_szyb_%C5%9Bciennych-220cm/kolor_szyb_%C5%9Bciennych-bezbarwne/uchwyty_do_szyb_przesuwnych-nie/szczotki_przeciw_kurzowe_na_szyby_%C5%9Bcienne-nie</t>
  </si>
  <si>
    <t xml:space="preserve">cena</t>
  </si>
  <si>
    <t xml:space="preserve">wysokość od podłogi przy ścianie budynku</t>
  </si>
  <si>
    <t xml:space="preserve">wysokość od podłogi przy krawędzi tarasu</t>
  </si>
  <si>
    <r>
      <rPr>
        <sz val="10"/>
        <rFont val="Arial"/>
        <family val="2"/>
        <charset val="1"/>
      </rPr>
      <t xml:space="preserve">spadek dachu min. 7 stopni </t>
    </r>
    <r>
      <rPr>
        <u val="single"/>
        <sz val="10"/>
        <rFont val="Arial"/>
        <family val="2"/>
        <charset val="1"/>
      </rPr>
      <t xml:space="preserve">https://www.youtube.com/watch?v=EOEYvswpFWc</t>
    </r>
  </si>
  <si>
    <t xml:space="preserve">szerokość</t>
  </si>
  <si>
    <t xml:space="preserve">długość</t>
  </si>
  <si>
    <t xml:space="preserve">liczba kolumn przy ścianie</t>
  </si>
  <si>
    <t xml:space="preserve">liczba kolumn przy krawędzi tarasu</t>
  </si>
  <si>
    <t xml:space="preserve">długość sumaryczna kolumn</t>
  </si>
  <si>
    <t xml:space="preserve">długość dźwigarów</t>
  </si>
  <si>
    <t xml:space="preserve">odległość między krokwiami</t>
  </si>
  <si>
    <t xml:space="preserve">liczba krokwi</t>
  </si>
  <si>
    <t xml:space="preserve">długość krokwi</t>
  </si>
  <si>
    <t xml:space="preserve">długość sumaryczna krokwi</t>
  </si>
  <si>
    <t xml:space="preserve">stopy do kolumny</t>
  </si>
  <si>
    <t xml:space="preserve">cięcie łącznika [mb]</t>
  </si>
  <si>
    <t xml:space="preserve">liczba łączników</t>
  </si>
  <si>
    <t xml:space="preserve">dach</t>
  </si>
  <si>
    <t xml:space="preserve">listwa brzegowa w poprzek kanałów</t>
  </si>
  <si>
    <t xml:space="preserve">szerokość płyty PC</t>
  </si>
  <si>
    <t xml:space="preserve">długość płyty PC</t>
  </si>
  <si>
    <t xml:space="preserve">liczba płyt</t>
  </si>
  <si>
    <t xml:space="preserve">koszt</t>
  </si>
  <si>
    <t xml:space="preserve">Beam stress and deflection calculator supported ob both ends singleload at center</t>
  </si>
  <si>
    <t xml:space="preserve">https://www.engineersedge.com/beam_bending/calculators_protected/beam_deflection_2.htmttps://www.engineersedge.com/beam_bending/calculators_protected/beam_deflection_2.htm</t>
  </si>
  <si>
    <t xml:space="preserve">Square @ center tube calculator</t>
  </si>
  <si>
    <t xml:space="preserve">https://www.engineersedge.com/calculators/section_square_case_4.htm</t>
  </si>
  <si>
    <t xml:space="preserve">mild steel odulus of elasticity </t>
  </si>
  <si>
    <t xml:space="preserve">N/mm2</t>
  </si>
  <si>
    <t xml:space="preserve">ultimate stress</t>
  </si>
  <si>
    <t xml:space="preserve">max. stress</t>
  </si>
  <si>
    <t xml:space="preserve">square beam exterior size</t>
  </si>
  <si>
    <t xml:space="preserve">mm</t>
  </si>
  <si>
    <t xml:space="preserve">square beam interior size</t>
  </si>
  <si>
    <t xml:space="preserve">area</t>
  </si>
  <si>
    <t xml:space="preserve">area moment of inertia</t>
  </si>
  <si>
    <t xml:space="preserve">mm4</t>
  </si>
  <si>
    <t xml:space="preserve">beam length</t>
  </si>
  <si>
    <t xml:space="preserve">beam load</t>
  </si>
  <si>
    <t xml:space="preserve">N</t>
  </si>
  <si>
    <t xml:space="preserve">max stress</t>
  </si>
  <si>
    <t xml:space="preserve">gabaryty</t>
  </si>
  <si>
    <t xml:space="preserve">wysokość z frontu</t>
  </si>
  <si>
    <t xml:space="preserve">wysokość z tyłu</t>
  </si>
  <si>
    <t xml:space="preserve">płyty Nida Hydro do ztosowania zewnątrz [m2]</t>
  </si>
  <si>
    <t xml:space="preserve">liczba płyt Nida Hydro</t>
  </si>
  <si>
    <t xml:space="preserve">płyty gk zewn</t>
  </si>
  <si>
    <t xml:space="preserve">plyty gk wewn.</t>
  </si>
  <si>
    <t xml:space="preserve">liczba płyt gk</t>
  </si>
  <si>
    <t xml:space="preserve">taśma dwustronna do mocowania folii [mb]</t>
  </si>
  <si>
    <t xml:space="preserve">Powierzcnia płyt 5x60x100cm3 wełny mineralnej</t>
  </si>
  <si>
    <t xml:space="preserve">liczba plyt wełny mineralnej</t>
  </si>
  <si>
    <t xml:space="preserve">sciany</t>
  </si>
  <si>
    <t xml:space="preserve">belka gk nośna 3m 75mm, liczba</t>
  </si>
  <si>
    <t xml:space="preserve">belka gk nośna 3m 100mm, liczba</t>
  </si>
  <si>
    <t xml:space="preserve">belka gk obwodowe 3m 75mm, liczba</t>
  </si>
  <si>
    <t xml:space="preserve">belki gk obwodowe 100</t>
  </si>
  <si>
    <t xml:space="preserve">sufit</t>
  </si>
  <si>
    <t xml:space="preserve">belki gk obwodowe 100, liczba</t>
  </si>
  <si>
    <t xml:space="preserve">taśma akustyczna </t>
  </si>
  <si>
    <t xml:space="preserve">materiały dodatkowe</t>
  </si>
  <si>
    <t xml:space="preserve">Okno 1.2x0.9 nieotwieralne 2 szyby</t>
  </si>
  <si>
    <t xml:space="preserve">Dzrwi 80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</si>
</sst>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.00"/>
    <numFmt numFmtId="167" formatCode="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FF"/>
      <name val="Arial"/>
      <family val="2"/>
      <charset val="1"/>
    </font>
    <font>
      <u val="single"/>
      <sz val="10"/>
      <name val="Arial"/>
      <family val="2"/>
      <charset val="1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7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tech-plast.eu/poliweglan/produkt/poliweglan-komorowy-16mm-bezbarwny-210x350m-x-premium/" TargetMode="External"/><Relationship Id="rId2" Type="http://schemas.openxmlformats.org/officeDocument/2006/relationships/hyperlink" Target="https://allegro.pl/oferta/okno-pcv-120-x-90-1200-x-900-uchylne-biale-7834414724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https://www.engineersedge.com/beam_bending/calculators_protected/beam_deflection_2.htmttp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C32"/>
  <sheetViews>
    <sheetView showFormulas="false" showGridLines="true" showRowColHeaders="true" showZeros="true" rightToLeft="false" tabSelected="true" showOutlineSymbols="true" defaultGridColor="true" view="normal" topLeftCell="A13" colorId="64" zoomScale="100" zoomScaleNormal="100" zoomScalePageLayoutView="100" workbookViewId="0">
      <selection pane="topLeft" activeCell="B33" activeCellId="0" sqref="B3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34.2"/>
    <col collapsed="false" customWidth="false" hidden="false" outlineLevel="0" max="2" min="2" style="2" width="11.53"/>
    <col collapsed="false" customWidth="true" hidden="false" outlineLevel="0" max="3" min="3" style="3" width="34.35"/>
  </cols>
  <sheetData>
    <row r="3" customFormat="false" ht="23.85" hidden="false" customHeight="false" outlineLevel="0" collapsed="false">
      <c r="A3" s="1" t="s">
        <v>0</v>
      </c>
      <c r="B3" s="2" t="n">
        <v>46</v>
      </c>
      <c r="C3" s="3" t="s">
        <v>1</v>
      </c>
    </row>
    <row r="4" customFormat="false" ht="23.85" hidden="false" customHeight="false" outlineLevel="0" collapsed="false">
      <c r="A4" s="1" t="s">
        <v>2</v>
      </c>
      <c r="B4" s="2" t="n">
        <v>17.4</v>
      </c>
      <c r="C4" s="3" t="s">
        <v>3</v>
      </c>
    </row>
    <row r="5" customFormat="false" ht="23.85" hidden="false" customHeight="false" outlineLevel="0" collapsed="false">
      <c r="A5" s="1" t="s">
        <v>4</v>
      </c>
      <c r="B5" s="2" t="s">
        <v>5</v>
      </c>
      <c r="C5" s="3" t="s">
        <v>6</v>
      </c>
    </row>
    <row r="7" customFormat="false" ht="12.8" hidden="false" customHeight="false" outlineLevel="0" collapsed="false">
      <c r="A7" s="1" t="s">
        <v>7</v>
      </c>
      <c r="B7" s="2" t="n">
        <v>17</v>
      </c>
      <c r="C7" s="3" t="s">
        <v>8</v>
      </c>
    </row>
    <row r="8" customFormat="false" ht="12.8" hidden="false" customHeight="false" outlineLevel="0" collapsed="false">
      <c r="A8" s="1" t="s">
        <v>9</v>
      </c>
      <c r="B8" s="2" t="n">
        <v>10</v>
      </c>
      <c r="C8" s="3" t="s">
        <v>10</v>
      </c>
    </row>
    <row r="10" customFormat="false" ht="23.85" hidden="false" customHeight="false" outlineLevel="0" collapsed="false">
      <c r="A10" s="1" t="s">
        <v>11</v>
      </c>
      <c r="B10" s="2" t="n">
        <v>10.1</v>
      </c>
      <c r="C10" s="3" t="s">
        <v>12</v>
      </c>
    </row>
    <row r="11" customFormat="false" ht="23.85" hidden="false" customHeight="false" outlineLevel="0" collapsed="false">
      <c r="A11" s="1" t="s">
        <v>13</v>
      </c>
      <c r="B11" s="2" t="n">
        <v>5.23</v>
      </c>
      <c r="C11" s="3" t="s">
        <v>14</v>
      </c>
    </row>
    <row r="12" customFormat="false" ht="12.8" hidden="false" customHeight="false" outlineLevel="0" collapsed="false">
      <c r="A12" s="1" t="s">
        <v>15</v>
      </c>
      <c r="B12" s="2" t="n">
        <v>19.38</v>
      </c>
      <c r="C12" s="3" t="s">
        <v>16</v>
      </c>
    </row>
    <row r="13" customFormat="false" ht="23.85" hidden="false" customHeight="false" outlineLevel="0" collapsed="false">
      <c r="A13" s="1" t="s">
        <v>17</v>
      </c>
      <c r="B13" s="2" t="n">
        <v>628.41</v>
      </c>
      <c r="C13" s="4" t="s">
        <v>18</v>
      </c>
    </row>
    <row r="14" customFormat="false" ht="12.8" hidden="false" customHeight="false" outlineLevel="0" collapsed="false">
      <c r="A14" s="3" t="s">
        <v>19</v>
      </c>
      <c r="B14" s="3" t="n">
        <v>449</v>
      </c>
      <c r="C14" s="3" t="s">
        <v>20</v>
      </c>
    </row>
    <row r="15" customFormat="false" ht="12.8" hidden="false" customHeight="false" outlineLevel="0" collapsed="false">
      <c r="A15" s="3" t="s">
        <v>21</v>
      </c>
      <c r="B15" s="3" t="n">
        <v>94.99</v>
      </c>
      <c r="C15" s="3" t="s">
        <v>22</v>
      </c>
    </row>
    <row r="17" customFormat="false" ht="23.85" hidden="false" customHeight="false" outlineLevel="0" collapsed="false">
      <c r="A17" s="1" t="s">
        <v>23</v>
      </c>
      <c r="B17" s="2" t="n">
        <v>188</v>
      </c>
      <c r="C17" s="3" t="s">
        <v>24</v>
      </c>
    </row>
    <row r="18" customFormat="false" ht="35.05" hidden="false" customHeight="false" outlineLevel="0" collapsed="false">
      <c r="A18" s="1" t="s">
        <v>25</v>
      </c>
      <c r="B18" s="2" t="n">
        <v>1913</v>
      </c>
      <c r="C18" s="3" t="s">
        <v>26</v>
      </c>
    </row>
    <row r="19" customFormat="false" ht="23.85" hidden="false" customHeight="false" outlineLevel="0" collapsed="false">
      <c r="A19" s="1" t="s">
        <v>27</v>
      </c>
      <c r="B19" s="2" t="n">
        <v>158</v>
      </c>
      <c r="C19" s="3" t="s">
        <v>28</v>
      </c>
    </row>
    <row r="20" customFormat="false" ht="23.85" hidden="false" customHeight="false" outlineLevel="0" collapsed="false">
      <c r="A20" s="1" t="s">
        <v>29</v>
      </c>
      <c r="B20" s="2" t="n">
        <v>586</v>
      </c>
      <c r="C20" s="4" t="s">
        <v>30</v>
      </c>
    </row>
    <row r="21" customFormat="false" ht="23.85" hidden="false" customHeight="false" outlineLevel="0" collapsed="false">
      <c r="A21" s="1" t="s">
        <v>31</v>
      </c>
      <c r="B21" s="2" t="n">
        <v>573</v>
      </c>
      <c r="C21" s="3" t="s">
        <v>32</v>
      </c>
    </row>
    <row r="22" customFormat="false" ht="12.8" hidden="false" customHeight="false" outlineLevel="0" collapsed="false">
      <c r="A22" s="3"/>
      <c r="B22" s="3"/>
    </row>
    <row r="23" customFormat="false" ht="35.05" hidden="false" customHeight="false" outlineLevel="0" collapsed="false">
      <c r="A23" s="1" t="s">
        <v>33</v>
      </c>
      <c r="B23" s="2" t="n">
        <v>13.99</v>
      </c>
      <c r="C23" s="3" t="s">
        <v>34</v>
      </c>
    </row>
    <row r="24" customFormat="false" ht="23.85" hidden="false" customHeight="false" outlineLevel="0" collapsed="false">
      <c r="A24" s="1" t="s">
        <v>35</v>
      </c>
      <c r="B24" s="2" t="n">
        <v>34</v>
      </c>
      <c r="C24" s="3" t="s">
        <v>36</v>
      </c>
    </row>
    <row r="25" customFormat="false" ht="23.85" hidden="false" customHeight="false" outlineLevel="0" collapsed="false">
      <c r="A25" s="1" t="s">
        <v>37</v>
      </c>
      <c r="B25" s="2" t="n">
        <v>29.98</v>
      </c>
      <c r="C25" s="3" t="s">
        <v>38</v>
      </c>
    </row>
    <row r="26" customFormat="false" ht="35.05" hidden="false" customHeight="false" outlineLevel="0" collapsed="false">
      <c r="A26" s="1" t="s">
        <v>39</v>
      </c>
      <c r="B26" s="5" t="n">
        <v>59.84</v>
      </c>
      <c r="C26" s="3" t="s">
        <v>40</v>
      </c>
    </row>
    <row r="27" customFormat="false" ht="23.85" hidden="false" customHeight="false" outlineLevel="0" collapsed="false">
      <c r="A27" s="1" t="s">
        <v>41</v>
      </c>
      <c r="B27" s="2" t="n">
        <v>27.97</v>
      </c>
      <c r="C27" s="3" t="s">
        <v>42</v>
      </c>
    </row>
    <row r="28" customFormat="false" ht="12.8" hidden="false" customHeight="false" outlineLevel="0" collapsed="false">
      <c r="A28" s="1" t="s">
        <v>43</v>
      </c>
      <c r="B28" s="2" t="n">
        <v>95</v>
      </c>
      <c r="C28" s="3" t="s">
        <v>44</v>
      </c>
    </row>
    <row r="29" customFormat="false" ht="12.8" hidden="false" customHeight="false" outlineLevel="0" collapsed="false">
      <c r="A29" s="1" t="s">
        <v>45</v>
      </c>
      <c r="B29" s="2" t="n">
        <v>91</v>
      </c>
      <c r="C29" s="3" t="s">
        <v>46</v>
      </c>
    </row>
    <row r="30" customFormat="false" ht="12.8" hidden="false" customHeight="false" outlineLevel="0" collapsed="false">
      <c r="A30" s="1" t="s">
        <v>47</v>
      </c>
      <c r="B30" s="2" t="n">
        <v>75</v>
      </c>
      <c r="C30" s="3" t="s">
        <v>48</v>
      </c>
    </row>
    <row r="32" customFormat="false" ht="12.8" hidden="false" customHeight="false" outlineLevel="0" collapsed="false">
      <c r="A32" s="1" t="s">
        <v>49</v>
      </c>
      <c r="B32" s="2" t="n">
        <v>3880</v>
      </c>
      <c r="C32" s="3" t="s">
        <v>50</v>
      </c>
    </row>
  </sheetData>
  <hyperlinks>
    <hyperlink ref="C13" r:id="rId1" display="https://tech-plast.eu/poliweglan/produkt/poliweglan-komorowy-16mm-bezbarwny-210x350m-x-premium/"/>
    <hyperlink ref="C20" r:id="rId2" display="https://allegro.pl/oferta/okno-pcv-120-x-90-1200-x-900-uchylne-biale-7834414724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45.62"/>
    <col collapsed="false" customWidth="false" hidden="false" outlineLevel="0" max="2" min="2" style="2" width="11.53"/>
    <col collapsed="false" customWidth="false" hidden="false" outlineLevel="0" max="3" min="3" style="6" width="11.53"/>
    <col collapsed="false" customWidth="true" hidden="false" outlineLevel="0" max="4" min="4" style="1" width="91.24"/>
  </cols>
  <sheetData>
    <row r="1" customFormat="false" ht="12.8" hidden="false" customHeight="false" outlineLevel="0" collapsed="false">
      <c r="C1" s="6" t="s">
        <v>51</v>
      </c>
    </row>
    <row r="3" customFormat="false" ht="12.95" hidden="false" customHeight="true" outlineLevel="0" collapsed="false">
      <c r="A3" s="1" t="s">
        <v>52</v>
      </c>
      <c r="B3" s="2" t="n">
        <v>2.85</v>
      </c>
    </row>
    <row r="4" customFormat="false" ht="12.95" hidden="false" customHeight="true" outlineLevel="0" collapsed="false">
      <c r="A4" s="1" t="s">
        <v>53</v>
      </c>
      <c r="B4" s="2" t="n">
        <f aca="false">B3-B5*TAN(RADIANS(7))</f>
        <v>2.48164631729129</v>
      </c>
      <c r="D4" s="1" t="s">
        <v>54</v>
      </c>
    </row>
    <row r="5" customFormat="false" ht="12.8" hidden="false" customHeight="false" outlineLevel="0" collapsed="false">
      <c r="A5" s="1" t="s">
        <v>55</v>
      </c>
      <c r="B5" s="2" t="n">
        <v>3</v>
      </c>
    </row>
    <row r="6" customFormat="false" ht="12.8" hidden="false" customHeight="false" outlineLevel="0" collapsed="false">
      <c r="A6" s="1" t="s">
        <v>56</v>
      </c>
      <c r="B6" s="2" t="n">
        <v>12</v>
      </c>
    </row>
    <row r="8" customFormat="false" ht="12.8" hidden="false" customHeight="false" outlineLevel="0" collapsed="false">
      <c r="A8" s="1" t="s">
        <v>57</v>
      </c>
      <c r="B8" s="2" t="n">
        <v>8</v>
      </c>
    </row>
    <row r="9" customFormat="false" ht="12.8" hidden="false" customHeight="false" outlineLevel="0" collapsed="false">
      <c r="A9" s="1" t="s">
        <v>58</v>
      </c>
      <c r="B9" s="2" t="n">
        <v>8</v>
      </c>
    </row>
    <row r="10" customFormat="false" ht="12.8" hidden="false" customHeight="false" outlineLevel="0" collapsed="false">
      <c r="A10" s="1" t="s">
        <v>59</v>
      </c>
      <c r="B10" s="2" t="n">
        <f aca="false">B8*B3+B9*B4</f>
        <v>42.6531705383303</v>
      </c>
      <c r="C10" s="6" t="n">
        <f aca="false">cennik!B3*B10</f>
        <v>1962.04584476319</v>
      </c>
    </row>
    <row r="12" customFormat="false" ht="12.8" hidden="false" customHeight="false" outlineLevel="0" collapsed="false">
      <c r="A12" s="1" t="s">
        <v>60</v>
      </c>
      <c r="B12" s="2" t="n">
        <f aca="false">2*B5+2*B6</f>
        <v>30</v>
      </c>
      <c r="C12" s="6" t="n">
        <f aca="false">cennik!B3*B12</f>
        <v>1380</v>
      </c>
    </row>
    <row r="13" customFormat="false" ht="12.8" hidden="false" customHeight="false" outlineLevel="0" collapsed="false">
      <c r="A13" s="1" t="s">
        <v>61</v>
      </c>
      <c r="B13" s="2" t="n">
        <v>1</v>
      </c>
    </row>
    <row r="14" customFormat="false" ht="12.8" hidden="false" customHeight="false" outlineLevel="0" collapsed="false">
      <c r="A14" s="1" t="s">
        <v>62</v>
      </c>
      <c r="B14" s="2" t="n">
        <f aca="false">B6/B13 +1</f>
        <v>13</v>
      </c>
    </row>
    <row r="15" customFormat="false" ht="12.8" hidden="false" customHeight="false" outlineLevel="0" collapsed="false">
      <c r="A15" s="1" t="s">
        <v>63</v>
      </c>
      <c r="B15" s="2" t="n">
        <f aca="false">SQRT(B5*B5+(B3-B4)*(B3-B4))</f>
        <v>3.02252947637655</v>
      </c>
    </row>
    <row r="16" customFormat="false" ht="12.8" hidden="false" customHeight="false" outlineLevel="0" collapsed="false">
      <c r="A16" s="1" t="s">
        <v>64</v>
      </c>
      <c r="B16" s="2" t="n">
        <f aca="false">B14*B15</f>
        <v>39.2928831928951</v>
      </c>
      <c r="C16" s="6" t="n">
        <f aca="false">cennik!B4*B16</f>
        <v>683.696167556374</v>
      </c>
    </row>
    <row r="18" customFormat="false" ht="12.8" hidden="false" customHeight="false" outlineLevel="0" collapsed="false">
      <c r="A18" s="1" t="s">
        <v>65</v>
      </c>
      <c r="B18" s="2" t="n">
        <f aca="false">B8+B9</f>
        <v>16</v>
      </c>
      <c r="C18" s="6" t="n">
        <f aca="false">cennik!B7*B18</f>
        <v>272</v>
      </c>
    </row>
    <row r="19" customFormat="false" ht="12.8" hidden="false" customHeight="false" outlineLevel="0" collapsed="false">
      <c r="A19" s="1" t="s">
        <v>66</v>
      </c>
      <c r="B19" s="2" t="n">
        <v>0.4</v>
      </c>
    </row>
    <row r="20" customFormat="false" ht="12.8" hidden="false" customHeight="false" outlineLevel="0" collapsed="false">
      <c r="A20" s="1" t="s">
        <v>67</v>
      </c>
      <c r="B20" s="2" t="n">
        <f aca="false">(B8+B9)*8 + B14*8</f>
        <v>232</v>
      </c>
      <c r="C20" s="6" t="n">
        <f aca="false">cennik!B8*B20</f>
        <v>2320</v>
      </c>
    </row>
    <row r="22" customFormat="false" ht="12.8" hidden="false" customHeight="false" outlineLevel="0" collapsed="false">
      <c r="A22" s="1" t="s">
        <v>68</v>
      </c>
    </row>
    <row r="23" customFormat="false" ht="12.8" hidden="false" customHeight="false" outlineLevel="0" collapsed="false">
      <c r="A23" s="1" t="s">
        <v>69</v>
      </c>
      <c r="B23" s="2" t="n">
        <f aca="false">2*B6</f>
        <v>24</v>
      </c>
      <c r="C23" s="6" t="n">
        <f aca="false">cennik!B10*B23</f>
        <v>242.4</v>
      </c>
    </row>
    <row r="24" customFormat="false" ht="12.8" hidden="false" customHeight="false" outlineLevel="0" collapsed="false">
      <c r="A24" s="1" t="s">
        <v>70</v>
      </c>
      <c r="B24" s="2" t="n">
        <v>2.1</v>
      </c>
    </row>
    <row r="25" customFormat="false" ht="12.8" hidden="false" customHeight="false" outlineLevel="0" collapsed="false">
      <c r="A25" s="1" t="s">
        <v>71</v>
      </c>
      <c r="B25" s="2" t="n">
        <v>300</v>
      </c>
    </row>
    <row r="26" customFormat="false" ht="12.8" hidden="false" customHeight="false" outlineLevel="0" collapsed="false">
      <c r="A26" s="1" t="s">
        <v>72</v>
      </c>
      <c r="B26" s="2" t="n">
        <f aca="false">B6/B24</f>
        <v>5.71428571428571</v>
      </c>
      <c r="C26" s="6" t="n">
        <f aca="false">cennik!B13*B26</f>
        <v>3590.91428571429</v>
      </c>
    </row>
    <row r="34" customFormat="false" ht="12.8" hidden="false" customHeight="false" outlineLevel="0" collapsed="false">
      <c r="A34" s="7" t="s">
        <v>73</v>
      </c>
      <c r="C34" s="6" t="n">
        <f aca="false">SUM(C2:C33)</f>
        <v>10451.0562980339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Roman,Regular"&amp;12Strona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C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7" activeCellId="0" sqref="C37"/>
    </sheetView>
  </sheetViews>
  <sheetFormatPr defaultColWidth="11.53515625" defaultRowHeight="12.8" zeroHeight="false" outlineLevelRow="0" outlineLevelCol="0"/>
  <cols>
    <col collapsed="false" customWidth="true" hidden="false" outlineLevel="0" max="1" min="1" style="8" width="34.2"/>
    <col collapsed="false" customWidth="false" hidden="false" outlineLevel="0" max="2" min="2" style="9" width="11.53"/>
    <col collapsed="false" customWidth="true" hidden="false" outlineLevel="0" max="3" min="3" style="10" width="34.35"/>
  </cols>
  <sheetData>
    <row r="2" customFormat="false" ht="35.05" hidden="false" customHeight="false" outlineLevel="0" collapsed="false">
      <c r="A2" s="8" t="s">
        <v>74</v>
      </c>
      <c r="C2" s="11" t="s">
        <v>75</v>
      </c>
    </row>
    <row r="3" customFormat="false" ht="12.8" hidden="false" customHeight="false" outlineLevel="0" collapsed="false">
      <c r="A3" s="8" t="s">
        <v>76</v>
      </c>
      <c r="C3" s="10" t="s">
        <v>77</v>
      </c>
    </row>
    <row r="7" customFormat="false" ht="12.8" hidden="false" customHeight="false" outlineLevel="0" collapsed="false">
      <c r="A7" s="5" t="s">
        <v>78</v>
      </c>
      <c r="B7" s="9" t="n">
        <v>210000</v>
      </c>
      <c r="C7" s="10" t="s">
        <v>79</v>
      </c>
    </row>
    <row r="8" customFormat="false" ht="12.8" hidden="false" customHeight="false" outlineLevel="0" collapsed="false">
      <c r="A8" s="5" t="s">
        <v>80</v>
      </c>
      <c r="B8" s="9" t="n">
        <v>300</v>
      </c>
      <c r="C8" s="10" t="s">
        <v>79</v>
      </c>
    </row>
    <row r="9" customFormat="false" ht="12.8" hidden="false" customHeight="false" outlineLevel="0" collapsed="false">
      <c r="A9" s="5" t="s">
        <v>81</v>
      </c>
      <c r="B9" s="9" t="n">
        <f aca="false">0.55*B8</f>
        <v>165</v>
      </c>
      <c r="C9" s="10" t="s">
        <v>79</v>
      </c>
    </row>
    <row r="10" customFormat="false" ht="12.8" hidden="false" customHeight="false" outlineLevel="0" collapsed="false">
      <c r="A10" s="3"/>
      <c r="B10" s="3"/>
      <c r="C10" s="3"/>
    </row>
    <row r="11" customFormat="false" ht="12.8" hidden="false" customHeight="false" outlineLevel="0" collapsed="false">
      <c r="A11" s="8" t="s">
        <v>82</v>
      </c>
      <c r="B11" s="9" t="n">
        <v>100</v>
      </c>
      <c r="C11" s="10" t="s">
        <v>83</v>
      </c>
    </row>
    <row r="12" customFormat="false" ht="12.8" hidden="false" customHeight="false" outlineLevel="0" collapsed="false">
      <c r="A12" s="8" t="s">
        <v>84</v>
      </c>
      <c r="B12" s="9" t="n">
        <v>96</v>
      </c>
      <c r="C12" s="10" t="s">
        <v>83</v>
      </c>
    </row>
    <row r="14" customFormat="false" ht="12.8" hidden="false" customHeight="false" outlineLevel="0" collapsed="false">
      <c r="A14" s="8" t="s">
        <v>85</v>
      </c>
      <c r="B14" s="9" t="n">
        <v>784</v>
      </c>
      <c r="C14" s="10" t="s">
        <v>83</v>
      </c>
    </row>
    <row r="15" customFormat="false" ht="12.8" hidden="false" customHeight="false" outlineLevel="0" collapsed="false">
      <c r="A15" s="8" t="s">
        <v>86</v>
      </c>
      <c r="B15" s="9" t="n">
        <v>1255445</v>
      </c>
      <c r="C15" s="10" t="s">
        <v>87</v>
      </c>
    </row>
    <row r="17" customFormat="false" ht="12.8" hidden="false" customHeight="false" outlineLevel="0" collapsed="false">
      <c r="A17" s="12" t="s">
        <v>88</v>
      </c>
      <c r="B17" s="13" t="n">
        <v>6000</v>
      </c>
      <c r="C17" s="10" t="s">
        <v>83</v>
      </c>
    </row>
    <row r="18" customFormat="false" ht="12.8" hidden="false" customHeight="false" outlineLevel="0" collapsed="false">
      <c r="A18" s="8" t="s">
        <v>89</v>
      </c>
      <c r="B18" s="9" t="n">
        <v>3000</v>
      </c>
      <c r="C18" s="10" t="s">
        <v>90</v>
      </c>
    </row>
    <row r="19" customFormat="false" ht="12.8" hidden="false" customHeight="false" outlineLevel="0" collapsed="false">
      <c r="A19" s="8" t="s">
        <v>91</v>
      </c>
      <c r="B19" s="9" t="n">
        <v>170</v>
      </c>
      <c r="C19" s="10" t="s">
        <v>79</v>
      </c>
    </row>
    <row r="21" customFormat="false" ht="12.8" hidden="false" customHeight="false" outlineLevel="0" collapsed="false">
      <c r="A21" s="12" t="s">
        <v>88</v>
      </c>
      <c r="B21" s="13" t="n">
        <v>3000</v>
      </c>
      <c r="C21" s="10" t="s">
        <v>83</v>
      </c>
    </row>
    <row r="22" customFormat="false" ht="12.8" hidden="false" customHeight="false" outlineLevel="0" collapsed="false">
      <c r="A22" s="8" t="s">
        <v>89</v>
      </c>
      <c r="B22" s="9" t="n">
        <v>6000</v>
      </c>
      <c r="C22" s="10" t="s">
        <v>90</v>
      </c>
    </row>
    <row r="23" customFormat="false" ht="12.8" hidden="false" customHeight="false" outlineLevel="0" collapsed="false">
      <c r="A23" s="8" t="s">
        <v>91</v>
      </c>
      <c r="B23" s="9" t="n">
        <v>170</v>
      </c>
      <c r="C23" s="10" t="s">
        <v>79</v>
      </c>
    </row>
  </sheetData>
  <hyperlinks>
    <hyperlink ref="C2" r:id="rId1" display="https://www.engineersedge.com/beam_bending/calculators_protected/beam_deflection_2.htmttps://www.engineersedge.com/beam_bending/calculators_protected/beam_deflection_2.ht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C32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A41" activeCellId="0" sqref="A4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34.07"/>
    <col collapsed="false" customWidth="false" hidden="false" outlineLevel="0" max="4" min="2" style="2" width="11.53"/>
  </cols>
  <sheetData>
    <row r="2" customFormat="false" ht="12.8" hidden="false" customHeight="false" outlineLevel="0" collapsed="false">
      <c r="A2" s="12" t="s">
        <v>92</v>
      </c>
    </row>
    <row r="3" customFormat="false" ht="12.8" hidden="false" customHeight="false" outlineLevel="0" collapsed="false">
      <c r="A3" s="1" t="s">
        <v>55</v>
      </c>
      <c r="B3" s="2" t="n">
        <v>3</v>
      </c>
    </row>
    <row r="4" customFormat="false" ht="12.8" hidden="false" customHeight="false" outlineLevel="0" collapsed="false">
      <c r="A4" s="1" t="s">
        <v>93</v>
      </c>
      <c r="B4" s="2" t="n">
        <v>2.6</v>
      </c>
    </row>
    <row r="5" customFormat="false" ht="12.8" hidden="false" customHeight="false" outlineLevel="0" collapsed="false">
      <c r="A5" s="1" t="s">
        <v>94</v>
      </c>
      <c r="B5" s="2" t="n">
        <v>3.9</v>
      </c>
    </row>
    <row r="6" customFormat="false" ht="12.8" hidden="false" customHeight="false" outlineLevel="0" collapsed="false">
      <c r="A6" s="1" t="s">
        <v>56</v>
      </c>
      <c r="B6" s="2" t="n">
        <v>3.9</v>
      </c>
    </row>
    <row r="8" customFormat="false" ht="23.85" hidden="false" customHeight="false" outlineLevel="0" collapsed="false">
      <c r="A8" s="1" t="s">
        <v>95</v>
      </c>
      <c r="B8" s="2" t="n">
        <f aca="false">B5*(B3+2*B6) + B3*B6</f>
        <v>53.82</v>
      </c>
    </row>
    <row r="9" customFormat="false" ht="12.8" hidden="false" customHeight="false" outlineLevel="0" collapsed="false">
      <c r="A9" s="1" t="s">
        <v>96</v>
      </c>
      <c r="B9" s="2" t="n">
        <f aca="false">B8/(1.2*2.6) * 1.2</f>
        <v>20.7</v>
      </c>
      <c r="C9" s="2" t="n">
        <f aca="false">cennik!B26*B9</f>
        <v>1238.688</v>
      </c>
    </row>
    <row r="10" customFormat="false" ht="12.8" hidden="false" customHeight="false" outlineLevel="0" collapsed="false">
      <c r="A10" s="1" t="s">
        <v>97</v>
      </c>
      <c r="B10" s="2" t="n">
        <f aca="false">B5*(B3+2*B6)</f>
        <v>42.12</v>
      </c>
    </row>
    <row r="11" customFormat="false" ht="12.8" hidden="false" customHeight="false" outlineLevel="0" collapsed="false">
      <c r="A11" s="1" t="s">
        <v>98</v>
      </c>
      <c r="B11" s="2" t="n">
        <f aca="false">B5*(B3-0.1+2*(B6-0.1))</f>
        <v>40.95</v>
      </c>
    </row>
    <row r="12" customFormat="false" ht="12.8" hidden="false" customHeight="false" outlineLevel="0" collapsed="false">
      <c r="A12" s="1" t="s">
        <v>99</v>
      </c>
      <c r="B12" s="2" t="n">
        <f aca="false">(B10+B11)/(1.2 *2.6)*1.2</f>
        <v>31.95</v>
      </c>
      <c r="C12" s="2" t="n">
        <f aca="false">cennik!B27*B12</f>
        <v>893.6415</v>
      </c>
    </row>
    <row r="13" customFormat="false" ht="12.8" hidden="false" customHeight="false" outlineLevel="0" collapsed="false">
      <c r="A13" s="1" t="s">
        <v>43</v>
      </c>
      <c r="C13" s="2" t="n">
        <f aca="false">cennik!B28</f>
        <v>95</v>
      </c>
    </row>
    <row r="14" customFormat="false" ht="23.85" hidden="false" customHeight="false" outlineLevel="0" collapsed="false">
      <c r="A14" s="1" t="s">
        <v>100</v>
      </c>
      <c r="B14" s="2" t="n">
        <v>100</v>
      </c>
    </row>
    <row r="15" customFormat="false" ht="23.85" hidden="false" customHeight="false" outlineLevel="0" collapsed="false">
      <c r="A15" s="1" t="s">
        <v>101</v>
      </c>
      <c r="B15" s="2" t="n">
        <f aca="false">(B5*(B3+2*B6) + B3*B6)*2</f>
        <v>107.64</v>
      </c>
    </row>
    <row r="16" customFormat="false" ht="12.8" hidden="false" customHeight="false" outlineLevel="0" collapsed="false">
      <c r="A16" s="1" t="s">
        <v>102</v>
      </c>
      <c r="B16" s="2" t="n">
        <f aca="false">B15/(0.6*1)</f>
        <v>179.4</v>
      </c>
      <c r="C16" s="2" t="n">
        <f aca="false">cennik!B23*B16</f>
        <v>2509.806</v>
      </c>
    </row>
    <row r="17" customFormat="false" ht="12.8" hidden="false" customHeight="false" outlineLevel="0" collapsed="false">
      <c r="A17" s="1" t="s">
        <v>103</v>
      </c>
    </row>
    <row r="18" customFormat="false" ht="12.8" hidden="false" customHeight="false" outlineLevel="0" collapsed="false">
      <c r="A18" s="1" t="s">
        <v>104</v>
      </c>
    </row>
    <row r="19" customFormat="false" ht="12.8" hidden="false" customHeight="false" outlineLevel="0" collapsed="false">
      <c r="A19" s="1" t="s">
        <v>105</v>
      </c>
    </row>
    <row r="20" customFormat="false" ht="12.8" hidden="false" customHeight="false" outlineLevel="0" collapsed="false">
      <c r="A20" s="1" t="s">
        <v>106</v>
      </c>
    </row>
    <row r="21" customFormat="false" ht="12.8" hidden="false" customHeight="false" outlineLevel="0" collapsed="false">
      <c r="A21" s="1" t="s">
        <v>107</v>
      </c>
    </row>
    <row r="22" customFormat="false" ht="12.8" hidden="false" customHeight="false" outlineLevel="0" collapsed="false">
      <c r="A22" s="1" t="s">
        <v>108</v>
      </c>
    </row>
    <row r="23" customFormat="false" ht="12.8" hidden="false" customHeight="false" outlineLevel="0" collapsed="false">
      <c r="A23" s="8" t="s">
        <v>109</v>
      </c>
      <c r="B23" s="2" t="n">
        <v>2</v>
      </c>
      <c r="C23" s="2" t="n">
        <f aca="false">cennik!B24*B23</f>
        <v>68</v>
      </c>
    </row>
    <row r="24" customFormat="false" ht="12.8" hidden="false" customHeight="false" outlineLevel="0" collapsed="false">
      <c r="A24" s="8" t="s">
        <v>105</v>
      </c>
      <c r="B24" s="2" t="n">
        <v>17</v>
      </c>
      <c r="C24" s="2" t="n">
        <f aca="false">cennik!B25*B24</f>
        <v>509.66</v>
      </c>
    </row>
    <row r="25" customFormat="false" ht="12.8" hidden="false" customHeight="false" outlineLevel="0" collapsed="false">
      <c r="A25" s="1" t="s">
        <v>110</v>
      </c>
      <c r="C25" s="2" t="n">
        <f aca="false">cennik!B29+cennik!B30</f>
        <v>166</v>
      </c>
    </row>
    <row r="26" customFormat="false" ht="12.8" hidden="false" customHeight="false" outlineLevel="0" collapsed="false">
      <c r="A26" s="1" t="s">
        <v>111</v>
      </c>
      <c r="C26" s="2" t="n">
        <v>1000</v>
      </c>
    </row>
    <row r="28" customFormat="false" ht="12.8" hidden="false" customHeight="false" outlineLevel="0" collapsed="false">
      <c r="A28" s="1" t="s">
        <v>112</v>
      </c>
      <c r="C28" s="2" t="n">
        <f aca="false">cennik!B21</f>
        <v>573</v>
      </c>
    </row>
    <row r="29" customFormat="false" ht="12.8" hidden="false" customHeight="false" outlineLevel="0" collapsed="false">
      <c r="A29" s="1" t="s">
        <v>113</v>
      </c>
      <c r="C29" s="2" t="n">
        <f aca="false">cennik!B18</f>
        <v>1913</v>
      </c>
    </row>
    <row r="32" customFormat="false" ht="12.8" hidden="false" customHeight="false" outlineLevel="0" collapsed="false">
      <c r="C32" s="2" t="n">
        <f aca="false">SUM(C1:C31)</f>
        <v>8966.7955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13353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2024-05-08T16:07:40Z</dcterms:created>
  <dc:creator/>
  <dc:description/>
  <dc:language>en-US</dc:language>
  <cp:lastModifiedBy/>
  <dcterms:modified xsi:type="dcterms:W3CDTF">2024-06-06T07:31:53Z</dcterms:modified>
  <cp:revision>16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